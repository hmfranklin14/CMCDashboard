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Tabl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CPT Code</t>
        </is>
      </c>
      <c r="B1" s="1" t="inlineStr">
        <is>
          <t>Units</t>
        </is>
      </c>
      <c r="C1" s="1" t="inlineStr">
        <is>
          <t>Non-Facility Difference</t>
        </is>
      </c>
      <c r="D1" s="1" t="inlineStr">
        <is>
          <t>Column D</t>
        </is>
      </c>
      <c r="E1" s="1" t="inlineStr">
        <is>
          <t>Column E</t>
        </is>
      </c>
      <c r="F1" s="1" t="inlineStr">
        <is>
          <t>Charge Amount</t>
        </is>
      </c>
    </row>
    <row r="2">
      <c r="A2" t="inlineStr">
        <is>
          <t>99495</t>
        </is>
      </c>
      <c r="B2" t="n">
        <v>1</v>
      </c>
      <c r="C2" t="n">
        <v>98.34999999999999</v>
      </c>
      <c r="D2" t="inlineStr"/>
      <c r="E2" t="inlineStr"/>
      <c r="F2" t="n">
        <v>332</v>
      </c>
    </row>
    <row r="3">
      <c r="A3" t="inlineStr">
        <is>
          <t>99496</t>
        </is>
      </c>
      <c r="B3" t="n">
        <v>1</v>
      </c>
      <c r="C3" t="n">
        <v>132.93</v>
      </c>
      <c r="D3" t="inlineStr"/>
      <c r="E3" t="inlineStr"/>
      <c r="F3" t="n">
        <v>448</v>
      </c>
    </row>
    <row r="4">
      <c r="A4" t="inlineStr">
        <is>
          <t>G0180</t>
        </is>
      </c>
      <c r="B4" t="n">
        <v>1</v>
      </c>
      <c r="C4" t="n">
        <v/>
      </c>
      <c r="D4" t="inlineStr"/>
      <c r="E4" t="inlineStr"/>
      <c r="F4" t="n">
        <v>420</v>
      </c>
    </row>
    <row r="5">
      <c r="A5" t="inlineStr">
        <is>
          <t>G2211</t>
        </is>
      </c>
      <c r="B5" t="n">
        <v>1</v>
      </c>
      <c r="C5" t="n">
        <v>3.02</v>
      </c>
      <c r="D5" t="inlineStr"/>
      <c r="E5" t="inlineStr"/>
      <c r="F5" t="n">
        <v>103</v>
      </c>
    </row>
    <row r="6">
      <c r="A6" t="inlineStr">
        <is>
          <t>99202</t>
        </is>
      </c>
      <c r="B6" t="n">
        <v/>
      </c>
      <c r="C6" t="n">
        <v>34.41</v>
      </c>
      <c r="D6" t="inlineStr"/>
      <c r="E6" t="inlineStr"/>
      <c r="F6" t="n">
        <v/>
      </c>
    </row>
    <row r="7">
      <c r="A7" t="inlineStr">
        <is>
          <t>99203</t>
        </is>
      </c>
      <c r="B7" t="n">
        <v>1</v>
      </c>
      <c r="C7" t="n">
        <v>46.32</v>
      </c>
      <c r="D7" t="inlineStr"/>
      <c r="E7" t="inlineStr"/>
      <c r="F7" t="n">
        <v/>
      </c>
    </row>
    <row r="8">
      <c r="A8" t="inlineStr">
        <is>
          <t>99204</t>
        </is>
      </c>
      <c r="B8" t="n">
        <v>1.5</v>
      </c>
      <c r="C8" t="n">
        <v>60.76</v>
      </c>
      <c r="D8" t="inlineStr"/>
      <c r="E8" t="inlineStr"/>
      <c r="F8" t="n">
        <v>598</v>
      </c>
    </row>
    <row r="9">
      <c r="A9" t="inlineStr">
        <is>
          <t>99205</t>
        </is>
      </c>
      <c r="B9" t="n">
        <v>2</v>
      </c>
      <c r="C9" t="n">
        <v>76.87</v>
      </c>
      <c r="D9" t="inlineStr"/>
      <c r="E9" t="inlineStr"/>
      <c r="F9" t="n">
        <v>809</v>
      </c>
    </row>
    <row r="10">
      <c r="A10" t="inlineStr">
        <is>
          <t>99211</t>
        </is>
      </c>
      <c r="B10" t="n">
        <v>1</v>
      </c>
      <c r="C10" t="n">
        <v>16.79</v>
      </c>
      <c r="D10" t="inlineStr"/>
      <c r="E10" t="inlineStr"/>
      <c r="F10" t="n">
        <v/>
      </c>
    </row>
    <row r="11">
      <c r="A11" t="inlineStr">
        <is>
          <t>99213</t>
        </is>
      </c>
      <c r="B11" t="n">
        <v>1</v>
      </c>
      <c r="C11" t="n">
        <v>37.93</v>
      </c>
      <c r="D11" t="inlineStr"/>
      <c r="E11" t="inlineStr"/>
      <c r="F11" t="n">
        <v>251</v>
      </c>
    </row>
    <row r="12">
      <c r="A12" t="inlineStr">
        <is>
          <t>99214</t>
        </is>
      </c>
      <c r="B12" t="n">
        <v>1</v>
      </c>
      <c r="C12" t="n">
        <v>51.36</v>
      </c>
      <c r="D12" t="inlineStr"/>
      <c r="E12" t="inlineStr"/>
      <c r="F12" t="n">
        <v>365</v>
      </c>
    </row>
    <row r="13">
      <c r="A13" t="inlineStr">
        <is>
          <t>99215</t>
        </is>
      </c>
      <c r="B13" t="n">
        <v>1.5</v>
      </c>
      <c r="C13" t="n">
        <v>67.14</v>
      </c>
      <c r="D13" t="inlineStr"/>
      <c r="E13" t="inlineStr"/>
      <c r="F13" t="n">
        <v>382</v>
      </c>
    </row>
    <row r="14">
      <c r="A14" t="inlineStr">
        <is>
          <t>99417</t>
        </is>
      </c>
      <c r="B14" t="n">
        <v>1</v>
      </c>
      <c r="C14" t="n">
        <v/>
      </c>
      <c r="D14" t="inlineStr"/>
      <c r="E14" t="inlineStr"/>
      <c r="F14" t="n">
        <v>211</v>
      </c>
    </row>
    <row r="15">
      <c r="A15" t="inlineStr">
        <is>
          <t>G0438</t>
        </is>
      </c>
      <c r="B15" t="n">
        <v>1</v>
      </c>
      <c r="C15" t="n">
        <v/>
      </c>
      <c r="D15" t="inlineStr"/>
      <c r="E15" t="inlineStr"/>
      <c r="F15" t="n">
        <v>420</v>
      </c>
    </row>
    <row r="16">
      <c r="A16" t="inlineStr">
        <is>
          <t>G0439</t>
        </is>
      </c>
      <c r="B16" t="n">
        <v>1</v>
      </c>
      <c r="C16" t="n">
        <v/>
      </c>
      <c r="D16" t="inlineStr"/>
      <c r="E16" t="inlineStr"/>
      <c r="F16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Inputs</t>
        </is>
      </c>
    </row>
    <row r="3">
      <c r="A3" s="1" t="inlineStr">
        <is>
          <t>Physicians</t>
        </is>
      </c>
      <c r="B3" t="n">
        <v>1</v>
      </c>
    </row>
    <row r="4">
      <c r="A4" s="1" t="inlineStr">
        <is>
          <t>Physician Time %</t>
        </is>
      </c>
      <c r="B4" t="n">
        <v>0.5</v>
      </c>
    </row>
    <row r="5">
      <c r="A5" s="1" t="inlineStr">
        <is>
          <t>APP Relative Reimbursement</t>
        </is>
      </c>
      <c r="B5" t="n">
        <v>0.85</v>
      </c>
    </row>
    <row r="6">
      <c r="A6" s="1" t="inlineStr">
        <is>
          <t>Physician Salary</t>
        </is>
      </c>
      <c r="B6" t="n">
        <v>110</v>
      </c>
    </row>
    <row r="7">
      <c r="A7" s="1" t="inlineStr">
        <is>
          <t>APP Salary</t>
        </is>
      </c>
      <c r="B7" t="n">
        <v>62.5</v>
      </c>
    </row>
    <row r="8">
      <c r="A8" s="1" t="inlineStr">
        <is>
          <t>MA Salary</t>
        </is>
      </c>
      <c r="B8" t="n">
        <v>30</v>
      </c>
    </row>
    <row r="9">
      <c r="A9" s="1" t="inlineStr">
        <is>
          <t>RN Salary</t>
        </is>
      </c>
      <c r="B9" t="n">
        <v>60</v>
      </c>
    </row>
    <row r="10">
      <c r="A10" s="1" t="inlineStr">
        <is>
          <t>Driver Salary</t>
        </is>
      </c>
      <c r="B10" t="n">
        <v>30</v>
      </c>
    </row>
    <row r="11">
      <c r="A11" s="1" t="inlineStr">
        <is>
          <t>CHW Salary</t>
        </is>
      </c>
      <c r="B11" t="n">
        <v>25</v>
      </c>
    </row>
    <row r="12">
      <c r="A12" s="1" t="inlineStr">
        <is>
          <t>Medical Assistants</t>
        </is>
      </c>
      <c r="B12" t="n">
        <v>1</v>
      </c>
    </row>
    <row r="13">
      <c r="A13" s="1" t="inlineStr">
        <is>
          <t>Registered Nurses</t>
        </is>
      </c>
      <c r="B13" t="n">
        <v>0</v>
      </c>
    </row>
    <row r="14">
      <c r="A14" s="1" t="inlineStr">
        <is>
          <t>Community Health Workers</t>
        </is>
      </c>
      <c r="B14" t="n">
        <v>0</v>
      </c>
    </row>
    <row r="15">
      <c r="A15" s="1" t="inlineStr">
        <is>
          <t>Days per Week</t>
        </is>
      </c>
      <c r="B15" t="n">
        <v>3</v>
      </c>
    </row>
    <row r="16">
      <c r="A16" s="1" t="inlineStr">
        <is>
          <t>Weeks</t>
        </is>
      </c>
      <c r="B16" t="n">
        <v>1</v>
      </c>
    </row>
    <row r="17">
      <c r="A17" s="1" t="inlineStr">
        <is>
          <t>Hours per Day</t>
        </is>
      </c>
      <c r="B17" t="n">
        <v>4</v>
      </c>
    </row>
    <row r="18">
      <c r="A18" s="1" t="inlineStr">
        <is>
          <t>Weekly Equipment Cost</t>
        </is>
      </c>
      <c r="B18" t="n">
        <v>100</v>
      </c>
    </row>
    <row r="19">
      <c r="A19" s="1" t="inlineStr">
        <is>
          <t>Daily Gas Cost</t>
        </is>
      </c>
      <c r="B19" t="n">
        <v>50</v>
      </c>
    </row>
    <row r="20">
      <c r="A20" s="1" t="inlineStr">
        <is>
          <t>% Charge Reimbursed</t>
        </is>
      </c>
      <c r="B20" t="n">
        <v>0.25</v>
      </c>
    </row>
    <row r="21">
      <c r="A21" s="1" t="inlineStr">
        <is>
          <t>% NonFacility Reimbursed</t>
        </is>
      </c>
      <c r="B21" t="n">
        <v>0.25</v>
      </c>
    </row>
    <row r="25">
      <c r="A25" s="1" t="inlineStr">
        <is>
          <t>CPT Code</t>
        </is>
      </c>
      <c r="B25" s="1" t="inlineStr">
        <is>
          <t>Percent Time</t>
        </is>
      </c>
    </row>
    <row r="26">
      <c r="A26" t="inlineStr"/>
      <c r="B26" t="n">
        <v>0</v>
      </c>
    </row>
    <row r="27">
      <c r="A27" t="inlineStr"/>
      <c r="B27" t="n">
        <v>0</v>
      </c>
    </row>
    <row r="28">
      <c r="A28" t="inlineStr"/>
      <c r="B28" t="n">
        <v>0</v>
      </c>
    </row>
    <row r="29">
      <c r="A29" t="inlineStr"/>
      <c r="B29" t="n">
        <v>0</v>
      </c>
    </row>
    <row r="30">
      <c r="A30" t="inlineStr"/>
      <c r="B30" t="n">
        <v>0</v>
      </c>
    </row>
    <row r="31">
      <c r="A31" t="inlineStr"/>
      <c r="B31" t="n">
        <v>0</v>
      </c>
    </row>
    <row r="32">
      <c r="A32" t="inlineStr"/>
      <c r="B32" t="n">
        <v>0</v>
      </c>
    </row>
    <row r="33">
      <c r="A33" t="inlineStr"/>
      <c r="B33" t="n">
        <v>0</v>
      </c>
    </row>
    <row r="34">
      <c r="A34" t="inlineStr"/>
      <c r="B34" t="n">
        <v>0</v>
      </c>
    </row>
    <row r="35">
      <c r="A35" t="inlineStr"/>
      <c r="B35" t="n">
        <v>0</v>
      </c>
    </row>
  </sheetData>
  <dataValidations count="1">
    <dataValidation sqref="A26 A27 A28 A29 A30 A31 A32 A33 A34 A35" showDropDown="0" showInputMessage="0" showErrorMessage="0" allowBlank="1" type="list">
      <formula1>=Billing_Table!$A$2:$A$16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Cost</t>
        </is>
      </c>
      <c r="B1" s="1" t="inlineStr">
        <is>
          <t>Revenue at 100% Attendance</t>
        </is>
      </c>
      <c r="C1" s="1" t="inlineStr">
        <is>
          <t>Break-Even Attendance Rate</t>
        </is>
      </c>
    </row>
    <row r="2">
      <c r="A2">
        <f>(Inputs!B15*Inputs!B16*Inputs!B17*((Inputs!B6*Inputs!B3*Inputs!B4)+(Inputs!B7*Inputs!B3*(1-Inputs!B4))+(Inputs!B8*Inputs!B11)+(Inputs!B9*Inputs!B12)+(Inputs!B10*Inputs!B13)))+(Inputs!B15*Inputs!B16*(Inputs!B17+3)*Inputs!B9)+(Inputs!B16*Inputs!B18)+(Inputs!B16*Inputs!B15*Inputs!B19))</f>
        <v/>
      </c>
      <c r="B2">
        <f>SUM((((Inputs!B15*Inputs!B16*Inputs!B17*2*Inputs!B3)*(Inputs!B26/100))/XLOOKUP(Inputs!A26,Billing_Table!A:A,Billing_Table!B:B))*((Inputs!B20)*XLOOKUP(Inputs!A26,Billing_Table!A:A,Billing_Table!F:F)+(Inputs!B21)*XLOOKUP(Inputs!A26,Billing_Table!A:A,Billing_Table!C:C)),(((Inputs!B15*Inputs!B16*Inputs!B17*2*Inputs!B3)*(Inputs!B27/100))/XLOOKUP(Inputs!A27,Billing_Table!A:A,Billing_Table!B:B))*((Inputs!B20)*XLOOKUP(Inputs!A27,Billing_Table!A:A,Billing_Table!F:F)+(Inputs!B21)*XLOOKUP(Inputs!A27,Billing_Table!A:A,Billing_Table!C:C)),(((Inputs!B15*Inputs!B16*Inputs!B17*2*Inputs!B3)*(Inputs!B28/100))/XLOOKUP(Inputs!A28,Billing_Table!A:A,Billing_Table!B:B))*((Inputs!B20)*XLOOKUP(Inputs!A28,Billing_Table!A:A,Billing_Table!F:F)+(Inputs!B21)*XLOOKUP(Inputs!A28,Billing_Table!A:A,Billing_Table!C:C)),(((Inputs!B15*Inputs!B16*Inputs!B17*2*Inputs!B3)*(Inputs!B29/100))/XLOOKUP(Inputs!A29,Billing_Table!A:A,Billing_Table!B:B))*((Inputs!B20)*XLOOKUP(Inputs!A29,Billing_Table!A:A,Billing_Table!F:F)+(Inputs!B21)*XLOOKUP(Inputs!A29,Billing_Table!A:A,Billing_Table!C:C)),(((Inputs!B15*Inputs!B16*Inputs!B17*2*Inputs!B3)*(Inputs!B30/100))/XLOOKUP(Inputs!A30,Billing_Table!A:A,Billing_Table!B:B))*((Inputs!B20)*XLOOKUP(Inputs!A30,Billing_Table!A:A,Billing_Table!F:F)+(Inputs!B21)*XLOOKUP(Inputs!A30,Billing_Table!A:A,Billing_Table!C:C)),(((Inputs!B15*Inputs!B16*Inputs!B17*2*Inputs!B3)*(Inputs!B31/100))/XLOOKUP(Inputs!A31,Billing_Table!A:A,Billing_Table!B:B))*((Inputs!B20)*XLOOKUP(Inputs!A31,Billing_Table!A:A,Billing_Table!F:F)+(Inputs!B21)*XLOOKUP(Inputs!A31,Billing_Table!A:A,Billing_Table!C:C)),(((Inputs!B15*Inputs!B16*Inputs!B17*2*Inputs!B3)*(Inputs!B32/100))/XLOOKUP(Inputs!A32,Billing_Table!A:A,Billing_Table!B:B))*((Inputs!B20)*XLOOKUP(Inputs!A32,Billing_Table!A:A,Billing_Table!F:F)+(Inputs!B21)*XLOOKUP(Inputs!A32,Billing_Table!A:A,Billing_Table!C:C)),(((Inputs!B15*Inputs!B16*Inputs!B17*2*Inputs!B3)*(Inputs!B33/100))/XLOOKUP(Inputs!A33,Billing_Table!A:A,Billing_Table!B:B))*((Inputs!B20)*XLOOKUP(Inputs!A33,Billing_Table!A:A,Billing_Table!F:F)+(Inputs!B21)*XLOOKUP(Inputs!A33,Billing_Table!A:A,Billing_Table!C:C)),(((Inputs!B15*Inputs!B16*Inputs!B17*2*Inputs!B3)*(Inputs!B34/100))/XLOOKUP(Inputs!A34,Billing_Table!A:A,Billing_Table!B:B))*((Inputs!B20)*XLOOKUP(Inputs!A34,Billing_Table!A:A,Billing_Table!F:F)+(Inputs!B21)*XLOOKUP(Inputs!A34,Billing_Table!A:A,Billing_Table!C:C)),(((Inputs!B15*Inputs!B16*Inputs!B17*2*Inputs!B3)*(Inputs!B35/100))/XLOOKUP(Inputs!A35,Billing_Table!A:A,Billing_Table!B:B))*((Inputs!B20)*XLOOKUP(Inputs!A35,Billing_Table!A:A,Billing_Table!F:F)+(Inputs!B21)*XLOOKUP(Inputs!A35,Billing_Table!A:A,Billing_Table!C:C)))</f>
        <v/>
      </c>
      <c r="C2" s="2">
        <f>IF(A2&gt;=B2,"NA",A2/B2)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2026-03-12T16:12:56Z</dcterms:created>
  <dcterms:modified xmlns:dcterms="http://purl.org/dc/terms/" xmlns:xsi="http://www.w3.org/2001/XMLSchema-instance" xsi:type="dcterms:W3CDTF">2026-03-12T16:12:56Z</dcterms:modified>
</cp:coreProperties>
</file>